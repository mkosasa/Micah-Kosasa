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olver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sz val="9"/>
    </font>
    <font>
      <name val="Arial"/>
      <color rgb="00008000"/>
      <sz val="10"/>
    </font>
    <font>
      <name val="Arial"/>
      <color rgb="00000000"/>
      <sz val="10"/>
    </font>
    <font>
      <name val="Arial"/>
      <i val="1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3" fontId="5" fillId="0" borderId="0" pivotButton="0" quotePrefix="0" xfId="0"/>
    <xf numFmtId="164" fontId="5" fillId="0" borderId="0" pivotButton="0" quotePrefix="0" xfId="0"/>
    <xf numFmtId="0" fontId="6" fillId="2" borderId="1" applyAlignment="1" pivotButton="0" quotePrefix="0" xfId="0">
      <alignment horizontal="center" wrapText="1"/>
    </xf>
    <xf numFmtId="0" fontId="5" fillId="0" borderId="1" pivotButton="0" quotePrefix="0" xfId="0"/>
    <xf numFmtId="10" fontId="5" fillId="0" borderId="1" pivotButton="0" quotePrefix="0" xfId="0"/>
    <xf numFmtId="164" fontId="5" fillId="0" borderId="1" pivotButton="0" quotePrefix="0" xfId="0"/>
    <xf numFmtId="4" fontId="5" fillId="0" borderId="1" pivotButton="0" quotePrefix="0" xfId="0"/>
    <xf numFmtId="3" fontId="5" fillId="0" borderId="1" pivotButton="0" quotePrefix="0" xfId="0"/>
    <xf numFmtId="0" fontId="4" fillId="0" borderId="0" pivotButton="0" quotePrefix="0" xfId="0"/>
    <xf numFmtId="3" fontId="7" fillId="3" borderId="1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8" fillId="2" borderId="1" applyAlignment="1" pivotButton="0" quotePrefix="0" xfId="0">
      <alignment horizontal="center" wrapText="1"/>
    </xf>
    <xf numFmtId="0" fontId="9" fillId="0" borderId="1" pivotButton="0" quotePrefix="0" xfId="0"/>
    <xf numFmtId="3" fontId="10" fillId="0" borderId="1" applyAlignment="1" pivotButton="0" quotePrefix="0" xfId="0">
      <alignment horizontal="center"/>
    </xf>
    <xf numFmtId="10" fontId="9" fillId="0" borderId="1" pivotButton="0" quotePrefix="0" xfId="0"/>
    <xf numFmtId="164" fontId="9" fillId="0" borderId="1" pivotButton="0" quotePrefix="0" xfId="0"/>
    <xf numFmtId="164" fontId="10" fillId="0" borderId="1" pivotButton="0" quotePrefix="0" xfId="0"/>
    <xf numFmtId="4" fontId="9" fillId="0" borderId="1" pivotButton="0" quotePrefix="0" xfId="0"/>
    <xf numFmtId="3" fontId="10" fillId="0" borderId="1" pivotButton="0" quotePrefix="0" xfId="0"/>
    <xf numFmtId="3" fontId="9" fillId="0" borderId="1" pivotButton="0" quotePrefix="0" xfId="0"/>
    <xf numFmtId="0" fontId="6" fillId="0" borderId="1" pivotButton="0" quotePrefix="0" xfId="0"/>
    <xf numFmtId="3" fontId="6" fillId="0" borderId="1" applyAlignment="1" pivotButton="0" quotePrefix="0" xfId="0">
      <alignment horizontal="center"/>
    </xf>
    <xf numFmtId="164" fontId="6" fillId="0" borderId="1" pivotButton="0" quotePrefix="0" xfId="0"/>
    <xf numFmtId="3" fontId="6" fillId="0" borderId="1" pivotButton="0" quotePrefix="0" xfId="0"/>
    <xf numFmtId="0" fontId="3" fillId="4" borderId="2" applyAlignment="1" pivotButton="0" quotePrefix="0" xfId="0">
      <alignment wrapText="1"/>
    </xf>
    <xf numFmtId="164" fontId="3" fillId="4" borderId="2" pivotButton="0" quotePrefix="0" xfId="0"/>
    <xf numFmtId="0" fontId="10" fillId="0" borderId="1" applyAlignment="1" pivotButton="0" quotePrefix="0" xfId="0">
      <alignment horizont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This is the Solver objective cell ($B$28). Data &gt; Solver &gt; Set Objective &gt; Max.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Perfect Competition — Farm Bed Allocation: Assumptions</t>
        </is>
      </c>
    </row>
    <row r="2">
      <c r="A2" s="2" t="inlineStr">
        <is>
          <t>Source: capabilities/marginal-analysis/spec.md — all values below are fixed inputs, not decisions.</t>
        </is>
      </c>
    </row>
    <row r="4">
      <c r="A4" s="3" t="inlineStr">
        <is>
          <t>Season &amp; Resource Constants</t>
        </is>
      </c>
    </row>
    <row r="5">
      <c r="A5" s="4" t="inlineStr">
        <is>
          <t>Season length (weeks)</t>
        </is>
      </c>
      <c r="B5" s="5" t="n">
        <v>36</v>
      </c>
    </row>
    <row r="6">
      <c r="A6" s="4" t="inlineStr">
        <is>
          <t>Total beds available</t>
        </is>
      </c>
      <c r="B6" s="5" t="n">
        <v>64</v>
      </c>
    </row>
    <row r="7">
      <c r="A7" s="4" t="inlineStr">
        <is>
          <t>Fixed costs ($)</t>
        </is>
      </c>
      <c r="B7" s="6" t="n">
        <v>20000</v>
      </c>
    </row>
    <row r="8">
      <c r="A8" s="4" t="inlineStr">
        <is>
          <t>Farmer field hours (season)</t>
        </is>
      </c>
      <c r="B8" s="5" t="n">
        <v>720</v>
      </c>
    </row>
    <row r="9">
      <c r="A9" s="4" t="inlineStr">
        <is>
          <t>Farmer season pay ($) — informational; implied $34.72/hr; fixed regardless of crop mix</t>
        </is>
      </c>
      <c r="B9" s="6" t="n">
        <v>50000</v>
      </c>
    </row>
    <row r="10">
      <c r="A10" s="4" t="inlineStr">
        <is>
          <t>Temporary worker hours each (season)</t>
        </is>
      </c>
      <c r="B10" s="5" t="n">
        <v>1440</v>
      </c>
    </row>
    <row r="11">
      <c r="A11" s="4" t="inlineStr">
        <is>
          <t>Temporary worker cost each ($)</t>
        </is>
      </c>
      <c r="B11" s="6" t="n">
        <v>25000</v>
      </c>
    </row>
    <row r="12">
      <c r="A12" s="4" t="inlineStr">
        <is>
          <t>Max temporary workers</t>
        </is>
      </c>
      <c r="B12" s="5" t="n">
        <v>4</v>
      </c>
    </row>
    <row r="14">
      <c r="A14" s="3" t="inlineStr">
        <is>
          <t>Per-Crop Inputs</t>
        </is>
      </c>
    </row>
    <row r="15">
      <c r="A15" s="7" t="inlineStr">
        <is>
          <t>Crop</t>
        </is>
      </c>
      <c r="B15" s="7" t="inlineStr">
        <is>
          <t>Diminishing returns (%/bed)</t>
        </is>
      </c>
      <c r="C15" s="7" t="inlineStr">
        <is>
          <t>Fertilizer $/bed</t>
        </is>
      </c>
      <c r="D15" s="7" t="inlineStr">
        <is>
          <t>Labor hrs/wk/bed</t>
        </is>
      </c>
      <c r="E15" s="7" t="inlineStr">
        <is>
          <t>Price $/bed</t>
        </is>
      </c>
      <c r="F15" s="7" t="inlineStr">
        <is>
          <t>Max beds</t>
        </is>
      </c>
    </row>
    <row r="16">
      <c r="A16" s="8" t="inlineStr">
        <is>
          <t>Tomatoes</t>
        </is>
      </c>
      <c r="B16" s="9" t="n">
        <v>0.1</v>
      </c>
      <c r="C16" s="10" t="n">
        <v>880</v>
      </c>
      <c r="D16" s="11" t="n">
        <v>2.5</v>
      </c>
      <c r="E16" s="10" t="n">
        <v>8800</v>
      </c>
      <c r="F16" s="12" t="n">
        <v>20</v>
      </c>
    </row>
    <row r="17">
      <c r="A17" s="8" t="inlineStr">
        <is>
          <t>Carrots</t>
        </is>
      </c>
      <c r="B17" s="9" t="n">
        <v>0.025</v>
      </c>
      <c r="C17" s="10" t="n">
        <v>440</v>
      </c>
      <c r="D17" s="11" t="n">
        <v>0.833</v>
      </c>
      <c r="E17" s="10" t="n">
        <v>2094</v>
      </c>
      <c r="F17" s="12" t="n">
        <v>20</v>
      </c>
    </row>
    <row r="18">
      <c r="A18" s="8" t="inlineStr">
        <is>
          <t>Mesclun</t>
        </is>
      </c>
      <c r="B18" s="9" t="n">
        <v>0.0125</v>
      </c>
      <c r="C18" s="10" t="n">
        <v>880</v>
      </c>
      <c r="D18" s="11" t="n">
        <v>1.25</v>
      </c>
      <c r="E18" s="10" t="n">
        <v>2700</v>
      </c>
      <c r="F18" s="12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Perfect Competition — Bed Allocation Solver Model</t>
        </is>
      </c>
    </row>
    <row r="2">
      <c r="A2" s="2" t="inlineStr">
        <is>
          <t>Yellow cells are Solver's changing variable cells (starting values shown, not a solution). Run Data &gt; Solver to optimize — see section 5.</t>
        </is>
      </c>
    </row>
    <row r="3">
      <c r="A3" s="2" t="inlineStr">
        <is>
          <t>Legend: blue = hardcoded input  |  green = link to Assumptions sheet  |  black = formula  |  yellow fill = Solver decision variable  |  green fill = Solver objective cell</t>
        </is>
      </c>
    </row>
    <row r="5">
      <c r="A5" s="3" t="inlineStr">
        <is>
          <t>1. Decision Variables — Solver “By Changing Variable Cells”</t>
        </is>
      </c>
    </row>
    <row r="6">
      <c r="A6" s="13" t="inlineStr">
        <is>
          <t>Beds — Tomatoes</t>
        </is>
      </c>
      <c r="B6" s="14" t="n">
        <v>1</v>
      </c>
    </row>
    <row r="7">
      <c r="A7" s="13" t="inlineStr">
        <is>
          <t>Beds — Carrots</t>
        </is>
      </c>
      <c r="B7" s="14" t="n">
        <v>1</v>
      </c>
    </row>
    <row r="8">
      <c r="A8" s="13" t="inlineStr">
        <is>
          <t>Beds — Mesclun</t>
        </is>
      </c>
      <c r="B8" s="14" t="n">
        <v>1</v>
      </c>
    </row>
    <row r="9">
      <c r="A9" s="13" t="inlineStr">
        <is>
          <t>Temporary workers hired (0–4)</t>
        </is>
      </c>
      <c r="B9" s="14" t="n">
        <v>0</v>
      </c>
    </row>
    <row r="11">
      <c r="A11" s="3" t="inlineStr">
        <is>
          <t>2. Per-Crop Revenue, Fertilizer &amp; Labor (calculated)</t>
        </is>
      </c>
    </row>
    <row r="12" ht="28" customHeight="1">
      <c r="A12" s="15" t="inlineStr">
        <is>
          <t>Revenue assumption: each additional bed's output declines geometrically at the crop's diminishing-returns rate (bed i revenue = Price × (1−rate)^(i−1)). Total revenue for n beds = Price × (1−(1−rate)^n) / rate. This translates the spec's “%/bed” into a bed-count function — confirm this matches the intended model before trusting Solver's result.</t>
        </is>
      </c>
    </row>
    <row r="13">
      <c r="A13" s="16" t="inlineStr">
        <is>
          <t>Crop</t>
        </is>
      </c>
      <c r="B13" s="16" t="inlineStr">
        <is>
          <t>Beds</t>
        </is>
      </c>
      <c r="C13" s="16" t="inlineStr">
        <is>
          <t>Diminishing rate</t>
        </is>
      </c>
      <c r="D13" s="16" t="inlineStr">
        <is>
          <t>Price $/bed</t>
        </is>
      </c>
      <c r="E13" s="16" t="inlineStr">
        <is>
          <t>Revenue ($)</t>
        </is>
      </c>
      <c r="F13" s="16" t="inlineStr">
        <is>
          <t>Fertilizer $/bed</t>
        </is>
      </c>
      <c r="G13" s="16" t="inlineStr">
        <is>
          <t>Fertilizer cost ($)</t>
        </is>
      </c>
      <c r="H13" s="16" t="inlineStr">
        <is>
          <t>Labor hrs/wk/bed</t>
        </is>
      </c>
      <c r="I13" s="16" t="inlineStr">
        <is>
          <t>Labor hours (season)</t>
        </is>
      </c>
      <c r="J13" s="16" t="inlineStr">
        <is>
          <t>Max beds (cap)</t>
        </is>
      </c>
    </row>
    <row r="14">
      <c r="A14" s="17">
        <f>Assumptions!A16</f>
        <v/>
      </c>
      <c r="B14" s="18">
        <f>B6</f>
        <v/>
      </c>
      <c r="C14" s="19">
        <f>Assumptions!B16</f>
        <v/>
      </c>
      <c r="D14" s="20">
        <f>Assumptions!E16</f>
        <v/>
      </c>
      <c r="E14" s="21">
        <f>D14*(1-(1-C14)^B14)/C14</f>
        <v/>
      </c>
      <c r="F14" s="20">
        <f>Assumptions!C16</f>
        <v/>
      </c>
      <c r="G14" s="21">
        <f>F14*B14</f>
        <v/>
      </c>
      <c r="H14" s="22">
        <f>Assumptions!D16</f>
        <v/>
      </c>
      <c r="I14" s="23">
        <f>H14*B14*Assumptions!$B$5</f>
        <v/>
      </c>
      <c r="J14" s="24">
        <f>Assumptions!F16</f>
        <v/>
      </c>
    </row>
    <row r="15">
      <c r="A15" s="17">
        <f>Assumptions!A17</f>
        <v/>
      </c>
      <c r="B15" s="18">
        <f>B7</f>
        <v/>
      </c>
      <c r="C15" s="19">
        <f>Assumptions!B17</f>
        <v/>
      </c>
      <c r="D15" s="20">
        <f>Assumptions!E17</f>
        <v/>
      </c>
      <c r="E15" s="21">
        <f>D15*(1-(1-C15)^B15)/C15</f>
        <v/>
      </c>
      <c r="F15" s="20">
        <f>Assumptions!C17</f>
        <v/>
      </c>
      <c r="G15" s="21">
        <f>F15*B15</f>
        <v/>
      </c>
      <c r="H15" s="22">
        <f>Assumptions!D17</f>
        <v/>
      </c>
      <c r="I15" s="23">
        <f>H15*B15*Assumptions!$B$5</f>
        <v/>
      </c>
      <c r="J15" s="24">
        <f>Assumptions!F17</f>
        <v/>
      </c>
    </row>
    <row r="16">
      <c r="A16" s="17">
        <f>Assumptions!A18</f>
        <v/>
      </c>
      <c r="B16" s="18">
        <f>B8</f>
        <v/>
      </c>
      <c r="C16" s="19">
        <f>Assumptions!B18</f>
        <v/>
      </c>
      <c r="D16" s="20">
        <f>Assumptions!E18</f>
        <v/>
      </c>
      <c r="E16" s="21">
        <f>D16*(1-(1-C16)^B16)/C16</f>
        <v/>
      </c>
      <c r="F16" s="20">
        <f>Assumptions!C18</f>
        <v/>
      </c>
      <c r="G16" s="21">
        <f>F16*B16</f>
        <v/>
      </c>
      <c r="H16" s="22">
        <f>Assumptions!D18</f>
        <v/>
      </c>
      <c r="I16" s="23">
        <f>H16*B16*Assumptions!$B$5</f>
        <v/>
      </c>
      <c r="J16" s="24">
        <f>Assumptions!F18</f>
        <v/>
      </c>
    </row>
    <row r="17">
      <c r="A17" s="25" t="inlineStr">
        <is>
          <t>Total</t>
        </is>
      </c>
      <c r="B17" s="26">
        <f>SUM(B14:B16)</f>
        <v/>
      </c>
      <c r="E17" s="27">
        <f>SUM(E14:E16)</f>
        <v/>
      </c>
      <c r="G17" s="27">
        <f>SUM(G14:G16)</f>
        <v/>
      </c>
      <c r="I17" s="28">
        <f>SUM(I14:I16)</f>
        <v/>
      </c>
    </row>
    <row r="19">
      <c r="A19" s="3" t="inlineStr">
        <is>
          <t>3. Costs &amp; Objective</t>
        </is>
      </c>
    </row>
    <row r="20">
      <c r="A20" s="4" t="inlineStr">
        <is>
          <t>Total beds available</t>
        </is>
      </c>
      <c r="B20" s="24">
        <f>Assumptions!B6</f>
        <v/>
      </c>
    </row>
    <row r="21">
      <c r="A21" s="4" t="inlineStr">
        <is>
          <t>Total beds used</t>
        </is>
      </c>
      <c r="B21" s="23">
        <f>B17</f>
        <v/>
      </c>
    </row>
    <row r="22">
      <c r="A22" s="4" t="inlineStr">
        <is>
          <t>Fixed costs ($)</t>
        </is>
      </c>
      <c r="B22" s="20">
        <f>Assumptions!B7</f>
        <v/>
      </c>
    </row>
    <row r="23">
      <c r="A23" s="4" t="inlineStr">
        <is>
          <t>Farmer season pay ($) — informational; fixed regardless of crop mix</t>
        </is>
      </c>
      <c r="B23" s="20">
        <f>Assumptions!B9</f>
        <v/>
      </c>
    </row>
    <row r="24">
      <c r="A24" s="4" t="inlineStr">
        <is>
          <t>Temporary worker cost ($) = workers hired × cost/worker</t>
        </is>
      </c>
      <c r="B24" s="21">
        <f>B9*Assumptions!B11</f>
        <v/>
      </c>
    </row>
    <row r="25">
      <c r="A25" s="4" t="inlineStr">
        <is>
          <t>Total fertilizer cost ($)</t>
        </is>
      </c>
      <c r="B25" s="21">
        <f>G17</f>
        <v/>
      </c>
    </row>
    <row r="26">
      <c r="A26" s="4" t="inlineStr">
        <is>
          <t>Total Revenue ($)</t>
        </is>
      </c>
      <c r="B26" s="21">
        <f>E17</f>
        <v/>
      </c>
    </row>
    <row r="27">
      <c r="A27" s="4" t="inlineStr">
        <is>
          <t>Total Costs ($) = fixed + farmer pay + worker cost + fertilizer</t>
        </is>
      </c>
      <c r="B27" s="21">
        <f>SUM(B22:B25)</f>
        <v/>
      </c>
    </row>
    <row r="28" ht="30" customHeight="1">
      <c r="A28" s="29" t="inlineStr">
        <is>
          <t>PROFIT ($) — Solver Objective: Set Objective = Max</t>
        </is>
      </c>
      <c r="B28" s="30">
        <f>B26-B27</f>
        <v/>
      </c>
    </row>
    <row r="30">
      <c r="A30" s="3" t="inlineStr">
        <is>
          <t>4. Labor Hours Check</t>
        </is>
      </c>
    </row>
    <row r="31">
      <c r="A31" s="13" t="inlineStr">
        <is>
          <t>Total labor hours needed (season)</t>
        </is>
      </c>
      <c r="B31" s="23">
        <f>I17</f>
        <v/>
      </c>
    </row>
    <row r="32">
      <c r="A32" s="4" t="inlineStr">
        <is>
          <t>Total labor hours available (season) = farmer hours + workers hired × hours/worker</t>
        </is>
      </c>
      <c r="B32" s="23">
        <f>Assumptions!B8+B9*Assumptions!B10</f>
        <v/>
      </c>
    </row>
    <row r="33">
      <c r="A33" s="13" t="inlineStr">
        <is>
          <t>Labor hours check (needed &lt;= available)</t>
        </is>
      </c>
      <c r="B33" s="31">
        <f>IF(B31&lt;=B32,"OK","EXCEEDS - infeasible")</f>
        <v/>
      </c>
    </row>
    <row r="35">
      <c r="A35" s="3" t="inlineStr">
        <is>
          <t>5. Solver Setup — Data &gt; Solver</t>
        </is>
      </c>
    </row>
    <row r="36">
      <c r="A36" s="13" t="inlineStr">
        <is>
          <t>Set Objective: $B$28 (Profit)     To: Max</t>
        </is>
      </c>
    </row>
    <row r="37">
      <c r="A37" s="13" t="inlineStr">
        <is>
          <t>By Changing Variable Cells: $B$6:$B$9</t>
        </is>
      </c>
    </row>
    <row r="38">
      <c r="A38" s="13" t="inlineStr">
        <is>
          <t>Subject to the Constraints:</t>
        </is>
      </c>
    </row>
    <row r="39">
      <c r="A39" s="32" t="inlineStr">
        <is>
          <t xml:space="preserve">   $B$21 &lt;= $B$20        (total beds used &lt;= total beds available, 64)</t>
        </is>
      </c>
    </row>
    <row r="40">
      <c r="A40" s="32" t="inlineStr">
        <is>
          <t xml:space="preserve">   $B$14 &lt;= $J$14        (tomato beds &lt;= cap, 20)</t>
        </is>
      </c>
    </row>
    <row r="41">
      <c r="A41" s="32" t="inlineStr">
        <is>
          <t xml:space="preserve">   $B$15 &lt;= $J$15        (carrot beds &lt;= cap, 20)</t>
        </is>
      </c>
    </row>
    <row r="42">
      <c r="A42" s="32" t="inlineStr">
        <is>
          <t xml:space="preserve">   $B$16 &lt;= $J$16        (mesclun beds &lt;= cap, 30)</t>
        </is>
      </c>
    </row>
    <row r="43">
      <c r="A43" s="32" t="inlineStr">
        <is>
          <t xml:space="preserve">   $B$6:$B$8 &gt;= 0, int   (beds are whole numbers, non-negative)</t>
        </is>
      </c>
    </row>
    <row r="44">
      <c r="A44" s="32" t="inlineStr">
        <is>
          <t xml:space="preserve">   $B$9 &gt;= 0, $B$9 &lt;= Assumptions!$B$12, int   (0–4 temporary workers)</t>
        </is>
      </c>
    </row>
    <row r="45">
      <c r="A45" s="32" t="inlineStr">
        <is>
          <t xml:space="preserve">   $B$31 &lt;= $B$32        (labor hours needed &lt;= labor hours available)</t>
        </is>
      </c>
    </row>
    <row r="46">
      <c r="A46" s="13" t="inlineStr">
        <is>
          <t>Solving Method: GRG Nonlinear (the revenue formula is nonlinear/concave from diminishing returns).</t>
        </is>
      </c>
    </row>
    <row r="47">
      <c r="A47" s="13" t="inlineStr">
        <is>
          <t>Check “Make Unconstrained Variables Non-Negative” in the Solver Options.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2026-08-24T03:00:02Z</dcterms:created>
  <dcterms:modified xsi:type="dcterms:W3CDTF">2026-08-24T03:00:02Z</dcterms:modified>
</cp:coreProperties>
</file>